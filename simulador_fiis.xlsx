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ci\Downloads\simulador-Flis\"/>
    </mc:Choice>
  </mc:AlternateContent>
  <xr:revisionPtr revIDLastSave="0" documentId="8_{C0B6ACCA-E9F4-4255-8758-E363E54A395C}" xr6:coauthVersionLast="47" xr6:coauthVersionMax="47" xr10:uidLastSave="{00000000-0000-0000-0000-000000000000}"/>
  <bookViews>
    <workbookView xWindow="-120" yWindow="-120" windowWidth="29040" windowHeight="16440" xr2:uid="{12B3666B-0302-4B5A-BC1F-F4629BB70750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C39" i="1"/>
  <c r="D39" i="1" s="1"/>
  <c r="C40" i="1"/>
  <c r="C41" i="1"/>
  <c r="C36" i="1"/>
  <c r="H6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4" i="1"/>
  <c r="D24" i="1" s="1"/>
  <c r="D14" i="1"/>
  <c r="C25" i="1"/>
  <c r="D25" i="1" s="1"/>
  <c r="C26" i="1"/>
  <c r="D26" i="1" s="1"/>
  <c r="C27" i="1"/>
  <c r="D27" i="1" s="1"/>
  <c r="C28" i="1"/>
  <c r="D28" i="1" s="1"/>
  <c r="D38" i="1" l="1"/>
  <c r="D40" i="1"/>
  <c r="D36" i="1"/>
  <c r="D37" i="1"/>
  <c r="D41" i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<sst xmlns="http://schemas.openxmlformats.org/spreadsheetml/2006/main" count="71" uniqueCount="34">
  <si>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</si>
  <si>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</si>
  <si>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</si>
  <si>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Quanto de Patrimônio acumulado terei?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</si>
  <si>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</si>
  <si>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</si>
  <si>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</si>
  <si>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</si>
  <si>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</si>
  <si>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</si>
  <si>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</si>
  <si>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</si>
  <si>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</si>
  <si>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</si>
  <si>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</si>
  <si>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CONFIGURAÇÕES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</si>
  <si>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</si>
  <si>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</si>
  <si>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</si>
  <si>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</si>
  <si>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</si>
  <si>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</si>
  <si>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</si>
  <si>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</si>
  <si>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</si>
  <si>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</si>
  <si>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</si>
  <si>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</si>
  <si>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</si>
  <si>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</si>
  <si>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</si>
  <si>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Agressivo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</si>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</sst>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4.9989318521683403E-2"/>
      </left>
      <right style="medium">
        <color indexed="64"/>
      </right>
      <top style="medium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indexed="64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0.14996795556505021"/>
      </left>
      <right/>
      <top/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hair">
        <color theme="0" tint="-4.9989318521683403E-2"/>
      </right>
      <top/>
      <bottom/>
      <diagonal/>
    </border>
    <border>
      <left/>
      <right style="hair">
        <color theme="0" tint="-4.9989318521683403E-2"/>
      </right>
      <top style="medium">
        <color indexed="64"/>
      </top>
      <bottom/>
      <diagonal/>
    </border>
    <border>
      <left/>
      <right style="hair">
        <color theme="0" tint="-4.9989318521683403E-2"/>
      </right>
      <top/>
      <bottom style="medium">
        <color indexed="64"/>
      </bottom>
      <diagonal/>
    </border>
    <border>
      <left/>
      <right style="thin">
        <color theme="0" tint="-0.14996795556505021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0" fontId="7" fillId="0" borderId="8" xfId="2" applyNumberFormat="1" applyFont="1" applyBorder="1" applyAlignment="1">
      <alignment horizontal="center"/>
    </xf>
    <xf numFmtId="166" fontId="7" fillId="0" borderId="7" xfId="1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8" fontId="7" fillId="4" borderId="8" xfId="0" applyNumberFormat="1" applyFont="1" applyFill="1" applyBorder="1" applyAlignment="1">
      <alignment horizontal="center"/>
    </xf>
    <xf numFmtId="8" fontId="7" fillId="4" borderId="9" xfId="0" applyNumberFormat="1" applyFont="1" applyFill="1" applyBorder="1" applyAlignment="1">
      <alignment horizontal="center"/>
    </xf>
    <xf numFmtId="0" fontId="4" fillId="5" borderId="0" xfId="0" applyFont="1" applyFill="1"/>
    <xf numFmtId="0" fontId="6" fillId="3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166" fontId="0" fillId="0" borderId="15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10" fontId="0" fillId="0" borderId="15" xfId="0" applyNumberFormat="1" applyBorder="1" applyAlignment="1">
      <alignment horizontal="center"/>
    </xf>
    <xf numFmtId="8" fontId="0" fillId="6" borderId="17" xfId="0" applyNumberFormat="1" applyFill="1" applyBorder="1" applyAlignment="1">
      <alignment horizontal="center"/>
    </xf>
    <xf numFmtId="8" fontId="0" fillId="6" borderId="20" xfId="0" applyNumberFormat="1" applyFill="1" applyBorder="1" applyAlignment="1">
      <alignment horizontal="center"/>
    </xf>
    <xf numFmtId="8" fontId="0" fillId="6" borderId="18" xfId="0" applyNumberFormat="1" applyFill="1" applyBorder="1" applyAlignment="1">
      <alignment horizontal="center"/>
    </xf>
    <xf numFmtId="8" fontId="0" fillId="6" borderId="21" xfId="0" applyNumberFormat="1" applyFill="1" applyBorder="1" applyAlignment="1">
      <alignment horizontal="center"/>
    </xf>
    <xf numFmtId="8" fontId="0" fillId="6" borderId="19" xfId="0" applyNumberFormat="1" applyFill="1" applyBorder="1" applyAlignment="1">
      <alignment horizontal="center"/>
    </xf>
    <xf numFmtId="8" fontId="0" fillId="6" borderId="22" xfId="0" applyNumberFormat="1" applyFill="1" applyBorder="1" applyAlignment="1">
      <alignment horizontal="center"/>
    </xf>
    <xf numFmtId="0" fontId="5" fillId="6" borderId="11" xfId="0" applyFont="1" applyFill="1" applyBorder="1"/>
    <xf numFmtId="0" fontId="5" fillId="6" borderId="12" xfId="0" applyFont="1" applyFill="1" applyBorder="1"/>
    <xf numFmtId="0" fontId="5" fillId="6" borderId="13" xfId="0" applyFont="1" applyFill="1" applyBorder="1"/>
    <xf numFmtId="0" fontId="8" fillId="7" borderId="14" xfId="0" applyFont="1" applyFill="1" applyBorder="1" applyAlignment="1">
      <alignment vertical="center"/>
    </xf>
    <xf numFmtId="0" fontId="8" fillId="7" borderId="2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" fillId="2" borderId="0" xfId="3"/>
    <xf numFmtId="0" fontId="2" fillId="2" borderId="0" xfId="3" applyAlignment="1">
      <alignment horizontal="center"/>
    </xf>
    <xf numFmtId="0" fontId="0" fillId="6" borderId="0" xfId="0" applyFill="1"/>
    <xf numFmtId="0" fontId="3" fillId="6" borderId="0" xfId="0" applyFont="1" applyFill="1"/>
    <xf numFmtId="166" fontId="3" fillId="6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166" fontId="3" fillId="9" borderId="0" xfId="0" applyNumberFormat="1" applyFont="1" applyFill="1"/>
    <xf numFmtId="9" fontId="0" fillId="0" borderId="0" xfId="0" applyNumberFormat="1" applyAlignment="1">
      <alignment horizontal="center"/>
    </xf>
    <xf numFmtId="166" fontId="0" fillId="8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2" fillId="2" borderId="0" xfId="2" applyFont="1" applyFill="1"/>
    <xf numFmtId="0" fontId="5" fillId="8" borderId="5" xfId="0" applyFont="1" applyFill="1" applyBorder="1" applyAlignment="1">
      <alignment horizontal="left"/>
    </xf>
    <xf numFmtId="0" fontId="5" fillId="8" borderId="24" xfId="0" applyFont="1" applyFill="1" applyBorder="1" applyAlignment="1">
      <alignment horizontal="left"/>
    </xf>
    <xf numFmtId="0" fontId="5" fillId="8" borderId="6" xfId="0" applyFont="1" applyFill="1" applyBorder="1" applyAlignment="1">
      <alignment horizontal="left"/>
    </xf>
    <xf numFmtId="0" fontId="5" fillId="8" borderId="26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10" fillId="4" borderId="5" xfId="0" applyFont="1" applyFill="1" applyBorder="1" applyAlignment="1">
      <alignment horizontal="left"/>
    </xf>
    <xf numFmtId="0" fontId="10" fillId="4" borderId="23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10" fillId="4" borderId="27" xfId="0" applyFont="1" applyFill="1" applyBorder="1" applyAlignment="1">
      <alignment horizontal="left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289891</xdr:colOff>
      <xdr:row>1</xdr:row>
      <xdr:rowOff>10442</xdr:rowOff>
    </xdr:from>
    <xdr:to>
      <xdr:col>6</xdr:col>
      <xdr:colOff>16565</xdr:colOff>
      <xdr:row>9</xdr:row>
      <xdr:rowOff>33132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1F2A87-15BB-460C-AF85-3E6CEFBD8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89891" y="200942"/>
          <a:ext cx="5830957" cy="1546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02A3-25A7-423E-B286-0B8E7041160C}">
  <dimension ref="A10:I42"/>
  <sheetViews>
    <sheetView showGridLines="0" tabSelected="1" zoomScale="115" zoomScaleNormal="115" workbookViewId="0">
      <selection activeCell="G14" sqref="G14"/>
    </sheetView>
  </sheetViews>
  <sheetFormatPr defaultColWidth="0" defaultRowHeight="15" x14ac:dyDescent="0.25"/>
  <cols>
    <col min="1" max="1" width="9.140625" customWidth="1"/>
    <col min="2" max="2" width="40.140625" customWidth="1"/>
    <col min="3" max="3" width="18.85546875" bestFit="1" customWidth="1"/>
    <col min="4" max="4" width="16.28515625" bestFit="1" customWidth="1"/>
    <col min="5" max="5" width="3.28515625" customWidth="1"/>
    <col min="6" max="6" width="3.85546875" customWidth="1"/>
    <col min="7" max="7" width="6" customWidth="1"/>
    <col min="8" max="8" width="5.140625" customWidth="1"/>
    <col min="9" max="11" width="9.140625" hidden="1" customWidth="1"/>
    <col min="12" max="16384" width="9.140625" hidden="1"/>
  </cols>
  <sheetData>
    <row r="10" spans="2:4" ht="15.75" thickBot="1" x14ac:dyDescent="0.3"/>
    <row r="11" spans="2:4" ht="21" x14ac:dyDescent="0.25">
      <c r="B11" s="13" t="s">
        <v>15</v>
      </c>
      <c r="C11" s="28"/>
      <c r="D11" s="27"/>
    </row>
    <row r="12" spans="2:4" ht="15.75" x14ac:dyDescent="0.25">
      <c r="B12" s="43" t="s">
        <v>13</v>
      </c>
      <c r="C12" s="44"/>
      <c r="D12" s="14">
        <v>1329</v>
      </c>
    </row>
    <row r="13" spans="2:4" ht="15.75" x14ac:dyDescent="0.25">
      <c r="B13" s="43" t="s">
        <v>14</v>
      </c>
      <c r="C13" s="44"/>
      <c r="D13" s="17">
        <v>6.0000000000000001E-3</v>
      </c>
    </row>
    <row r="14" spans="2:4" ht="16.5" thickBot="1" x14ac:dyDescent="0.3">
      <c r="B14" s="45" t="s">
        <v>33</v>
      </c>
      <c r="C14" s="46"/>
      <c r="D14" s="15">
        <f>D12*30%</f>
        <v>398.7</v>
      </c>
    </row>
    <row r="15" spans="2:4" ht="15.75" thickBot="1" x14ac:dyDescent="0.3"/>
    <row r="16" spans="2:4" ht="27" thickBot="1" x14ac:dyDescent="0.3">
      <c r="B16" s="3" t="s">
        <v>5</v>
      </c>
      <c r="C16" s="29"/>
      <c r="D16" s="11"/>
    </row>
    <row r="17" spans="1:9" ht="18.75" x14ac:dyDescent="0.3">
      <c r="B17" s="47" t="s">
        <v>0</v>
      </c>
      <c r="C17" s="48"/>
      <c r="D17" s="6">
        <v>398.7</v>
      </c>
    </row>
    <row r="18" spans="1:9" ht="18.75" x14ac:dyDescent="0.3">
      <c r="B18" s="47" t="s">
        <v>1</v>
      </c>
      <c r="C18" s="48"/>
      <c r="D18" s="7">
        <v>5</v>
      </c>
    </row>
    <row r="19" spans="1:9" ht="18.75" x14ac:dyDescent="0.3">
      <c r="B19" s="47" t="s">
        <v>2</v>
      </c>
      <c r="C19" s="48"/>
      <c r="D19" s="5">
        <v>1.0789999999999999E-2</v>
      </c>
    </row>
    <row r="20" spans="1:9" ht="18.75" x14ac:dyDescent="0.3">
      <c r="B20" s="49" t="s">
        <v>3</v>
      </c>
      <c r="C20" s="50"/>
      <c r="D20" s="8">
        <f>FV(Taxa_mensal,qtd_anos*12,Aporte*-1)</f>
        <v>33401.855611197025</v>
      </c>
      <c r="I20" s="1"/>
    </row>
    <row r="21" spans="1:9" ht="19.5" thickBot="1" x14ac:dyDescent="0.35">
      <c r="B21" s="51" t="s">
        <v>4</v>
      </c>
      <c r="C21" s="52"/>
      <c r="D21" s="9">
        <f>patrimonio*rendimento_carteira</f>
        <v>200.41113366718216</v>
      </c>
    </row>
    <row r="22" spans="1:9" ht="15.75" thickBot="1" x14ac:dyDescent="0.3"/>
    <row r="23" spans="1:9" ht="27" thickBot="1" x14ac:dyDescent="0.3">
      <c r="B23" s="3" t="s">
        <v>11</v>
      </c>
      <c r="C23" s="4"/>
      <c r="D23" s="16" t="s">
        <v>12</v>
      </c>
    </row>
    <row r="24" spans="1:9" ht="15.75" x14ac:dyDescent="0.25">
      <c r="A24" s="10">
        <v>2</v>
      </c>
      <c r="B24" s="24" t="s">
        <v>6</v>
      </c>
      <c r="C24" s="18">
        <f>FV($D$19,$A24*12,$D$17*-1)</f>
        <v>10855.655003571148</v>
      </c>
      <c r="D24" s="19">
        <f>C24*rendimento_carteira</f>
        <v>65.133930021426892</v>
      </c>
    </row>
    <row r="25" spans="1:9" ht="15.75" x14ac:dyDescent="0.25">
      <c r="A25" s="10">
        <v>5</v>
      </c>
      <c r="B25" s="25" t="s">
        <v>7</v>
      </c>
      <c r="C25" s="20">
        <f>FV($D$19,$A25*12,$D$17*-1)</f>
        <v>33401.855611197025</v>
      </c>
      <c r="D25" s="21">
        <f>C25*rendimento_carteira</f>
        <v>200.41113366718216</v>
      </c>
    </row>
    <row r="26" spans="1:9" ht="15.75" x14ac:dyDescent="0.25">
      <c r="A26" s="10">
        <v>10</v>
      </c>
      <c r="B26" s="25" t="s">
        <v>8</v>
      </c>
      <c r="C26" s="20">
        <f>FV($D$19,$A26*12,$D$17*-1)</f>
        <v>96997.415535779655</v>
      </c>
      <c r="D26" s="21">
        <f>C26*rendimento_carteira</f>
        <v>581.98449321467797</v>
      </c>
    </row>
    <row r="27" spans="1:9" ht="15.75" x14ac:dyDescent="0.25">
      <c r="A27" s="10">
        <v>20</v>
      </c>
      <c r="B27" s="25" t="s">
        <v>9</v>
      </c>
      <c r="C27" s="20">
        <f>FV($D$19,$A27*12,$D$17*-1)</f>
        <v>448616.60211870604</v>
      </c>
      <c r="D27" s="21">
        <f>C27*rendimento_carteira</f>
        <v>2691.6996127122361</v>
      </c>
    </row>
    <row r="28" spans="1:9" ht="16.5" thickBot="1" x14ac:dyDescent="0.3">
      <c r="A28" s="10">
        <v>30</v>
      </c>
      <c r="B28" s="26" t="s">
        <v>10</v>
      </c>
      <c r="C28" s="22">
        <f>FV($D$19,$A28*12,$D$17*-1)</f>
        <v>1723249.0414503796</v>
      </c>
      <c r="D28" s="23">
        <f>C28*rendimento_carteira</f>
        <v>10339.494248702278</v>
      </c>
    </row>
    <row r="32" spans="1:9" x14ac:dyDescent="0.25">
      <c r="B32" s="30" t="s">
        <v>18</v>
      </c>
      <c r="C32" s="31" t="s">
        <v>30</v>
      </c>
      <c r="D32" s="30"/>
    </row>
    <row r="33" spans="2:4" x14ac:dyDescent="0.25">
      <c r="B33" s="33" t="s">
        <v>17</v>
      </c>
      <c r="C33" s="34">
        <f>Aporte</f>
        <v>398.7</v>
      </c>
      <c r="D33" s="32"/>
    </row>
    <row r="35" spans="2:4" x14ac:dyDescent="0.25">
      <c r="B35" s="35" t="s">
        <v>19</v>
      </c>
      <c r="C35" s="35" t="s">
        <v>20</v>
      </c>
      <c r="D35" s="35" t="s">
        <v>21</v>
      </c>
    </row>
    <row r="36" spans="2:4" x14ac:dyDescent="0.25">
      <c r="B36" t="s">
        <v>22</v>
      </c>
      <c r="C36" s="38">
        <f>VLOOKUP($C$32&amp;"-"&amp;B36,Planilha2!$A$1:$D$20,4,FALSE)</f>
        <v>0.32</v>
      </c>
      <c r="D36" s="39">
        <f>C36*$C$33</f>
        <v>127.584</v>
      </c>
    </row>
    <row r="37" spans="2:4" x14ac:dyDescent="0.25">
      <c r="B37" t="s">
        <v>23</v>
      </c>
      <c r="C37" s="38">
        <f>VLOOKUP($C$32&amp;"-"&amp;B37,Planilha2!$A$1:$D$20,4,FALSE)</f>
        <v>0.35</v>
      </c>
      <c r="D37" s="39">
        <f t="shared" ref="D37:D41" si="0">C37*$C$33</f>
        <v>139.54499999999999</v>
      </c>
    </row>
    <row r="38" spans="2:4" x14ac:dyDescent="0.25">
      <c r="B38" t="s">
        <v>24</v>
      </c>
      <c r="C38" s="38">
        <f>VLOOKUP($C$32&amp;"-"&amp;B38,Planilha2!$A$1:$D$20,4,FALSE)</f>
        <v>0.08</v>
      </c>
      <c r="D38" s="39">
        <f t="shared" si="0"/>
        <v>31.896000000000001</v>
      </c>
    </row>
    <row r="39" spans="2:4" x14ac:dyDescent="0.25">
      <c r="B39" t="s">
        <v>25</v>
      </c>
      <c r="C39" s="38">
        <f>VLOOKUP($C$32&amp;"-"&amp;B39,Planilha2!$A$1:$D$20,4,FALSE)</f>
        <v>0.05</v>
      </c>
      <c r="D39" s="39">
        <f t="shared" si="0"/>
        <v>19.935000000000002</v>
      </c>
    </row>
    <row r="40" spans="2:4" x14ac:dyDescent="0.25">
      <c r="B40" t="s">
        <v>26</v>
      </c>
      <c r="C40" s="38">
        <f>VLOOKUP($C$32&amp;"-"&amp;B40,Planilha2!$A$1:$D$20,4,FALSE)</f>
        <v>0.1</v>
      </c>
      <c r="D40" s="39">
        <f t="shared" si="0"/>
        <v>39.870000000000005</v>
      </c>
    </row>
    <row r="41" spans="2:4" x14ac:dyDescent="0.25">
      <c r="B41" t="s">
        <v>27</v>
      </c>
      <c r="C41" s="38">
        <f>VLOOKUP($C$32&amp;"-"&amp;B41,Planilha2!$A$1:$D$20,4,FALSE)</f>
        <v>0.1</v>
      </c>
      <c r="D41" s="39">
        <f t="shared" si="0"/>
        <v>39.870000000000005</v>
      </c>
    </row>
    <row r="42" spans="2:4" x14ac:dyDescent="0.25">
      <c r="B42" s="36"/>
      <c r="C42" s="36"/>
      <c r="D42" s="37">
        <f>SUM(D36:D41)</f>
        <v>398.70000000000005</v>
      </c>
    </row>
  </sheetData>
  <mergeCells count="11">
    <mergeCell ref="B23:C23"/>
    <mergeCell ref="B18:C18"/>
    <mergeCell ref="B19:C19"/>
    <mergeCell ref="B20:C20"/>
    <mergeCell ref="B21:C21"/>
    <mergeCell ref="B11:C11"/>
    <mergeCell ref="B12:C12"/>
    <mergeCell ref="B13:C13"/>
    <mergeCell ref="B14:C14"/>
    <mergeCell ref="B16:C16"/>
    <mergeCell ref="B17:C17"/>
  </mergeCells>
  <dataValidations count="1">
    <dataValidation type="list" allowBlank="1" showInputMessage="1" showErrorMessage="1" sqref="C32" xr:uid="{95B2E488-0873-4E3B-AA47-53789038654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3E06-291C-4B24-A92A-ED99123B76A8}">
  <dimension ref="A2:H20"/>
  <sheetViews>
    <sheetView workbookViewId="0">
      <selection activeCell="I32" sqref="I32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  <col min="8" max="8" width="11.42578125" customWidth="1"/>
  </cols>
  <sheetData>
    <row r="2" spans="1:8" x14ac:dyDescent="0.25">
      <c r="A2" t="s">
        <v>29</v>
      </c>
      <c r="B2" t="s">
        <v>18</v>
      </c>
      <c r="C2" s="12" t="s">
        <v>19</v>
      </c>
      <c r="D2" t="s">
        <v>28</v>
      </c>
    </row>
    <row r="3" spans="1:8" x14ac:dyDescent="0.25">
      <c r="A3" t="str">
        <f>B3&amp;"-"&amp;C3</f>
        <v>Conservador-PAPEL</v>
      </c>
      <c r="B3" t="s">
        <v>16</v>
      </c>
      <c r="C3" s="12" t="s">
        <v>22</v>
      </c>
      <c r="D3" s="38">
        <v>0.3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12" t="s">
        <v>23</v>
      </c>
      <c r="D4" s="38">
        <v>0.5</v>
      </c>
    </row>
    <row r="5" spans="1:8" x14ac:dyDescent="0.25">
      <c r="A5" t="str">
        <f t="shared" si="0"/>
        <v>Conservador-HÍBRIDOS</v>
      </c>
      <c r="B5" t="s">
        <v>16</v>
      </c>
      <c r="C5" s="12" t="s">
        <v>24</v>
      </c>
      <c r="D5" s="38">
        <v>0.1</v>
      </c>
      <c r="H5" t="s">
        <v>28</v>
      </c>
    </row>
    <row r="6" spans="1:8" x14ac:dyDescent="0.25">
      <c r="A6" t="str">
        <f t="shared" si="0"/>
        <v>Conservador-FOFs</v>
      </c>
      <c r="B6" t="s">
        <v>16</v>
      </c>
      <c r="C6" s="12" t="s">
        <v>25</v>
      </c>
      <c r="D6" s="38">
        <v>0.1</v>
      </c>
      <c r="G6" s="30" t="s">
        <v>32</v>
      </c>
      <c r="H6" s="42">
        <f>VLOOKUP(G6,$A$1:$E$24,4,FALSE)</f>
        <v>0.35</v>
      </c>
    </row>
    <row r="7" spans="1:8" x14ac:dyDescent="0.25">
      <c r="A7" t="str">
        <f t="shared" si="0"/>
        <v>Conservador-DESENVOLVIMENTO</v>
      </c>
      <c r="B7" t="s">
        <v>16</v>
      </c>
      <c r="C7" s="12" t="s">
        <v>26</v>
      </c>
      <c r="D7" s="38">
        <v>0</v>
      </c>
    </row>
    <row r="8" spans="1:8" x14ac:dyDescent="0.25">
      <c r="A8" s="2" t="str">
        <f t="shared" si="0"/>
        <v>Conservador-HOTELARIAS</v>
      </c>
      <c r="B8" s="2" t="s">
        <v>16</v>
      </c>
      <c r="C8" s="40" t="s">
        <v>27</v>
      </c>
      <c r="D8" s="41">
        <v>0</v>
      </c>
      <c r="E8" s="2"/>
    </row>
    <row r="9" spans="1:8" x14ac:dyDescent="0.25">
      <c r="A9" t="str">
        <f t="shared" si="0"/>
        <v>Moderado-PAPEL</v>
      </c>
      <c r="B9" t="s">
        <v>30</v>
      </c>
      <c r="C9" s="12" t="s">
        <v>22</v>
      </c>
      <c r="D9" s="38">
        <v>0.32</v>
      </c>
    </row>
    <row r="10" spans="1:8" x14ac:dyDescent="0.25">
      <c r="A10" t="str">
        <f t="shared" si="0"/>
        <v>Moderado-TIJOLO</v>
      </c>
      <c r="B10" t="s">
        <v>30</v>
      </c>
      <c r="C10" s="12" t="s">
        <v>23</v>
      </c>
      <c r="D10" s="38">
        <v>0.35</v>
      </c>
    </row>
    <row r="11" spans="1:8" x14ac:dyDescent="0.25">
      <c r="A11" t="str">
        <f t="shared" si="0"/>
        <v>Moderado-HÍBRIDOS</v>
      </c>
      <c r="B11" t="s">
        <v>30</v>
      </c>
      <c r="C11" s="12" t="s">
        <v>24</v>
      </c>
      <c r="D11" s="38">
        <v>0.08</v>
      </c>
    </row>
    <row r="12" spans="1:8" x14ac:dyDescent="0.25">
      <c r="A12" t="str">
        <f t="shared" si="0"/>
        <v>Moderado-FOFs</v>
      </c>
      <c r="B12" t="s">
        <v>30</v>
      </c>
      <c r="C12" s="12" t="s">
        <v>25</v>
      </c>
      <c r="D12" s="38">
        <v>0.05</v>
      </c>
    </row>
    <row r="13" spans="1:8" x14ac:dyDescent="0.25">
      <c r="A13" t="str">
        <f t="shared" si="0"/>
        <v>Moderado-DESENVOLVIMENTO</v>
      </c>
      <c r="B13" t="s">
        <v>30</v>
      </c>
      <c r="C13" s="12" t="s">
        <v>26</v>
      </c>
      <c r="D13" s="38">
        <v>0.1</v>
      </c>
    </row>
    <row r="14" spans="1:8" x14ac:dyDescent="0.25">
      <c r="A14" s="2" t="str">
        <f t="shared" si="0"/>
        <v>Moderado-HOTELARIAS</v>
      </c>
      <c r="B14" s="2" t="s">
        <v>30</v>
      </c>
      <c r="C14" s="40" t="s">
        <v>27</v>
      </c>
      <c r="D14" s="41">
        <v>0.1</v>
      </c>
      <c r="E14" s="2"/>
    </row>
    <row r="15" spans="1:8" x14ac:dyDescent="0.25">
      <c r="A15" t="str">
        <f t="shared" si="0"/>
        <v>Agressivo-PAPEL</v>
      </c>
      <c r="B15" t="s">
        <v>31</v>
      </c>
      <c r="C15" s="12" t="s">
        <v>22</v>
      </c>
      <c r="D15" s="38">
        <v>0.5</v>
      </c>
    </row>
    <row r="16" spans="1:8" x14ac:dyDescent="0.25">
      <c r="A16" t="str">
        <f t="shared" si="0"/>
        <v>Agressivo-TIJOLO</v>
      </c>
      <c r="B16" t="s">
        <v>31</v>
      </c>
      <c r="C16" s="12" t="s">
        <v>23</v>
      </c>
      <c r="D16" s="38">
        <v>0.1</v>
      </c>
    </row>
    <row r="17" spans="1:4" x14ac:dyDescent="0.25">
      <c r="A17" t="str">
        <f t="shared" si="0"/>
        <v>Agressivo-HÍBRIDOS</v>
      </c>
      <c r="B17" t="s">
        <v>31</v>
      </c>
      <c r="C17" s="12" t="s">
        <v>24</v>
      </c>
      <c r="D17" s="38">
        <v>0.05</v>
      </c>
    </row>
    <row r="18" spans="1:4" x14ac:dyDescent="0.25">
      <c r="A18" t="str">
        <f t="shared" si="0"/>
        <v>Agressivo-FOFs</v>
      </c>
      <c r="B18" t="s">
        <v>31</v>
      </c>
      <c r="C18" s="12" t="s">
        <v>25</v>
      </c>
      <c r="D18" s="38">
        <v>0.05</v>
      </c>
    </row>
    <row r="19" spans="1:4" x14ac:dyDescent="0.25">
      <c r="A19" t="str">
        <f t="shared" si="0"/>
        <v>Agressivo-DESENVOLVIMENTO</v>
      </c>
      <c r="B19" t="s">
        <v>31</v>
      </c>
      <c r="C19" s="12" t="s">
        <v>26</v>
      </c>
      <c r="D19" s="38">
        <v>0.2</v>
      </c>
    </row>
    <row r="20" spans="1:4" x14ac:dyDescent="0.25">
      <c r="A20" t="str">
        <f t="shared" si="0"/>
        <v>Agressivo-HOTELARIAS</v>
      </c>
      <c r="B20" t="s">
        <v>31</v>
      </c>
      <c r="C20" s="12" t="s">
        <v>27</v>
      </c>
      <c r="D20" s="3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Garcia de Paula</dc:creator>
  <cp:lastModifiedBy>Lucas Garcia de Paula</cp:lastModifiedBy>
  <dcterms:created xsi:type="dcterms:W3CDTF">2026-10-14T22:46:36Z</dcterms:created>
  <dcterms:modified xsi:type="dcterms:W3CDTF">2026-10-15T01:00:34Z</dcterms:modified>
</cp:coreProperties>
</file>